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12s308\Desktop\cdl\CalculadoraAhorroProgramado\Excel\"/>
    </mc:Choice>
  </mc:AlternateContent>
  <xr:revisionPtr revIDLastSave="0" documentId="13_ncr:1_{393F10A6-8BDE-4358-B138-86E7E7E74D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T5X5zYyNOGkFvJi0rmaRWDVmhwv45GWqmzlNrcz4HUI="/>
    </ext>
  </extLst>
</workbook>
</file>

<file path=xl/calcChain.xml><?xml version="1.0" encoding="utf-8"?>
<calcChain xmlns="http://schemas.openxmlformats.org/spreadsheetml/2006/main">
  <c r="G5" i="1" l="1"/>
  <c r="G6" i="1"/>
  <c r="G4" i="1"/>
  <c r="G9" i="1"/>
  <c r="G10" i="1"/>
  <c r="G11" i="1"/>
  <c r="E6" i="1"/>
  <c r="E5" i="1"/>
  <c r="E4" i="1"/>
</calcChain>
</file>

<file path=xl/sharedStrings.xml><?xml version="1.0" encoding="utf-8"?>
<sst xmlns="http://schemas.openxmlformats.org/spreadsheetml/2006/main" count="47" uniqueCount="28">
  <si>
    <t>ENTRADAS</t>
  </si>
  <si>
    <t>SALIDAS</t>
  </si>
  <si>
    <t>Casos Normales</t>
  </si>
  <si>
    <t>Valor a ahorrar</t>
  </si>
  <si>
    <t>Plazo (meses)</t>
  </si>
  <si>
    <t>Abono extra</t>
  </si>
  <si>
    <t>Tasa de interes mensual</t>
  </si>
  <si>
    <t>Mes de Abono Extra</t>
  </si>
  <si>
    <t>Abono mensual</t>
  </si>
  <si>
    <t>Caso Normal</t>
  </si>
  <si>
    <t>Caso Normal 2</t>
  </si>
  <si>
    <t>Caso Normal 3</t>
  </si>
  <si>
    <t>Casos Extraordinarios</t>
  </si>
  <si>
    <t>Ahorro cero</t>
  </si>
  <si>
    <t>-</t>
  </si>
  <si>
    <t>Abono unico</t>
  </si>
  <si>
    <t>Abono extra igual a ahorro</t>
  </si>
  <si>
    <t>Casos de Error</t>
  </si>
  <si>
    <t>Ahorro negativo</t>
  </si>
  <si>
    <t>Error: el valor a ahorar debe ser mayor a  0</t>
  </si>
  <si>
    <t>plazo cero</t>
  </si>
  <si>
    <t>Error: el plazo debe ser mayor a 0</t>
  </si>
  <si>
    <t>Abono superior</t>
  </si>
  <si>
    <t>Error: abono supera meta de ahorro</t>
  </si>
  <si>
    <t>Mes de extra superior</t>
  </si>
  <si>
    <t>Error: El Mes en el que se realiza el abono extra es superior al plazo del ahorro</t>
  </si>
  <si>
    <t>Abono negativo</t>
  </si>
  <si>
    <t>Error: El valor del abono debe ser mayor 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</si>
</sst>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&quot;$&quot;#,##0.00;[Red]\-&quot;$&quot;#,##0.00"/>
  </numFmts>
  <fonts count="10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BDD6EE"/>
        <bgColor rgb="FFBDD6E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3" borderId="4" xfId="0" applyFont="1" applyFill="1" applyBorder="1" applyAlignment="1">
      <alignment horizontal="center"/>
    </xf>
    <xf numFmtId="0" fontId="1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9" xfId="0" applyFont="1" applyBorder="1" applyAlignment="1"/>
    <xf numFmtId="0" fontId="2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selection activeCell="A18" sqref="A18"/>
    </sheetView>
  </sheetViews>
  <sheetFormatPr baseColWidth="10" defaultColWidth="12.5703125" defaultRowHeight="15" customHeight="1" x14ac:dyDescent="0.2"/>
  <cols>
    <col min="1" max="1" width="22.5703125" customWidth="1"/>
    <col min="2" max="2" width="15.28515625" customWidth="1"/>
    <col min="3" max="3" width="13.42578125" customWidth="1"/>
    <col min="4" max="4" width="11.85546875" bestFit="1" customWidth="1"/>
    <col min="5" max="5" width="20.5703125" customWidth="1"/>
    <col min="6" max="6" width="19.28515625" bestFit="1" customWidth="1"/>
    <col min="7" max="7" width="71.140625" bestFit="1" customWidth="1"/>
  </cols>
  <sheetData>
    <row r="1" spans="1:8" ht="15.75" customHeight="1" x14ac:dyDescent="0.2">
      <c r="H1" s="1">
        <v>7.4999999999999997E-3</v>
      </c>
    </row>
    <row r="2" spans="1:8" ht="15.75" customHeight="1" x14ac:dyDescent="0.25">
      <c r="A2" s="2"/>
      <c r="B2" s="35" t="s">
        <v>0</v>
      </c>
      <c r="C2" s="36"/>
      <c r="D2" s="36"/>
      <c r="E2" s="36"/>
      <c r="F2" s="37"/>
      <c r="G2" s="3" t="s">
        <v>1</v>
      </c>
      <c r="H2" s="4"/>
    </row>
    <row r="3" spans="1:8" ht="15.75" customHeight="1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6</v>
      </c>
      <c r="F3" s="6" t="s">
        <v>7</v>
      </c>
      <c r="G3" s="9" t="s">
        <v>8</v>
      </c>
    </row>
    <row r="4" spans="1:8" ht="15.75" customHeight="1" x14ac:dyDescent="0.25">
      <c r="A4" s="10" t="s">
        <v>9</v>
      </c>
      <c r="B4" s="11">
        <v>1100000</v>
      </c>
      <c r="C4" s="10">
        <v>6</v>
      </c>
      <c r="D4" s="12">
        <v>0</v>
      </c>
      <c r="E4" s="13">
        <f t="shared" ref="E4:E6" si="0">$H$1</f>
        <v>7.4999999999999997E-3</v>
      </c>
      <c r="F4" s="14">
        <v>0</v>
      </c>
      <c r="G4" s="15">
        <f>IF(OR(B4&lt;=0,C4&lt;=0),"Error",(B4 - D4*(1+E4)^(C4-F4)) / (((1+E4)^C4-1)/E4))</f>
        <v>179925.79819452376</v>
      </c>
    </row>
    <row r="5" spans="1:8" ht="15.75" customHeight="1" x14ac:dyDescent="0.25">
      <c r="A5" s="10" t="s">
        <v>10</v>
      </c>
      <c r="B5" s="11">
        <v>9000000</v>
      </c>
      <c r="C5" s="10">
        <v>12</v>
      </c>
      <c r="D5" s="12">
        <v>1000000</v>
      </c>
      <c r="E5" s="13">
        <f t="shared" si="0"/>
        <v>7.4999999999999997E-3</v>
      </c>
      <c r="F5" s="14">
        <v>6</v>
      </c>
      <c r="G5" s="15">
        <f t="shared" ref="G5:G6" si="1">IF(OR(B5&lt;=0,C5&lt;=0),"Error",(B5 - D5*(1+E5)^(C5-F5)) / (((1+E5)^C5-1)/E5))</f>
        <v>635945.86024963693</v>
      </c>
    </row>
    <row r="6" spans="1:8" ht="15.75" customHeight="1" x14ac:dyDescent="0.25">
      <c r="A6" s="10" t="s">
        <v>11</v>
      </c>
      <c r="B6" s="11">
        <v>170000000</v>
      </c>
      <c r="C6" s="10">
        <v>36</v>
      </c>
      <c r="D6" s="12">
        <v>0</v>
      </c>
      <c r="E6" s="13">
        <f t="shared" si="0"/>
        <v>7.4999999999999997E-3</v>
      </c>
      <c r="F6" s="14">
        <v>0</v>
      </c>
      <c r="G6" s="15">
        <f t="shared" si="1"/>
        <v>4130954.5521898647</v>
      </c>
    </row>
    <row r="7" spans="1:8" ht="15.75" customHeight="1" x14ac:dyDescent="0.25">
      <c r="A7" s="16"/>
      <c r="B7" s="16"/>
      <c r="C7" s="16"/>
      <c r="D7" s="17"/>
      <c r="E7" s="18"/>
      <c r="F7" s="18"/>
      <c r="G7" s="19"/>
    </row>
    <row r="8" spans="1:8" ht="15.75" customHeight="1" x14ac:dyDescent="0.25">
      <c r="A8" s="5" t="s">
        <v>12</v>
      </c>
      <c r="B8" s="6" t="s">
        <v>3</v>
      </c>
      <c r="C8" s="6" t="s">
        <v>4</v>
      </c>
      <c r="D8" s="7" t="s">
        <v>5</v>
      </c>
      <c r="E8" s="20" t="s">
        <v>6</v>
      </c>
      <c r="F8" s="21" t="s">
        <v>7</v>
      </c>
      <c r="G8" s="9" t="s">
        <v>8</v>
      </c>
    </row>
    <row r="9" spans="1:8" ht="15.75" customHeight="1" x14ac:dyDescent="0.25">
      <c r="A9" s="10" t="s">
        <v>13</v>
      </c>
      <c r="B9" s="11">
        <v>0</v>
      </c>
      <c r="C9" s="10">
        <v>1</v>
      </c>
      <c r="D9" s="12">
        <v>0</v>
      </c>
      <c r="E9" s="22" t="s">
        <v>14</v>
      </c>
      <c r="F9" s="14">
        <v>0</v>
      </c>
      <c r="G9" s="15">
        <f t="shared" ref="G9" si="2">(B9-D9)/C9</f>
        <v>0</v>
      </c>
    </row>
    <row r="10" spans="1:8" ht="15.75" customHeight="1" x14ac:dyDescent="0.25">
      <c r="A10" s="10" t="s">
        <v>15</v>
      </c>
      <c r="B10" s="11">
        <v>90000</v>
      </c>
      <c r="C10" s="10">
        <v>1</v>
      </c>
      <c r="D10" s="12">
        <v>0</v>
      </c>
      <c r="E10" s="22" t="s">
        <v>14</v>
      </c>
      <c r="F10" s="14">
        <v>0</v>
      </c>
      <c r="G10" s="15">
        <f>(B10-D10)/C10</f>
        <v>90000</v>
      </c>
    </row>
    <row r="11" spans="1:8" ht="15.75" customHeight="1" x14ac:dyDescent="0.25">
      <c r="A11" s="10" t="s">
        <v>16</v>
      </c>
      <c r="B11" s="11">
        <v>400000</v>
      </c>
      <c r="C11" s="10">
        <v>2</v>
      </c>
      <c r="D11" s="12">
        <v>400000</v>
      </c>
      <c r="E11" s="22" t="s">
        <v>14</v>
      </c>
      <c r="F11" s="14">
        <v>1</v>
      </c>
      <c r="G11" s="15">
        <f>(B11-D11)/C11</f>
        <v>0</v>
      </c>
    </row>
    <row r="12" spans="1:8" ht="15.75" customHeight="1" x14ac:dyDescent="0.25">
      <c r="A12" s="16"/>
      <c r="B12" s="16"/>
      <c r="C12" s="16"/>
      <c r="D12" s="17"/>
      <c r="E12" s="18"/>
      <c r="F12" s="18"/>
      <c r="G12" s="19"/>
    </row>
    <row r="13" spans="1:8" ht="15.75" customHeight="1" x14ac:dyDescent="0.25">
      <c r="A13" s="5" t="s">
        <v>17</v>
      </c>
      <c r="B13" s="6" t="s">
        <v>3</v>
      </c>
      <c r="C13" s="6" t="s">
        <v>4</v>
      </c>
      <c r="D13" s="7" t="s">
        <v>5</v>
      </c>
      <c r="E13" s="20" t="s">
        <v>6</v>
      </c>
      <c r="F13" s="21" t="s">
        <v>7</v>
      </c>
      <c r="G13" s="9" t="s">
        <v>8</v>
      </c>
    </row>
    <row r="14" spans="1:8" ht="15.75" customHeight="1" x14ac:dyDescent="0.25">
      <c r="A14" s="10" t="s">
        <v>18</v>
      </c>
      <c r="B14" s="11">
        <v>-1300000</v>
      </c>
      <c r="C14" s="10">
        <v>15</v>
      </c>
      <c r="D14" s="12">
        <v>0</v>
      </c>
      <c r="E14" s="22" t="s">
        <v>14</v>
      </c>
      <c r="F14" s="14">
        <v>0</v>
      </c>
      <c r="G14" s="15" t="s">
        <v>19</v>
      </c>
    </row>
    <row r="15" spans="1:8" ht="15.75" customHeight="1" x14ac:dyDescent="0.25">
      <c r="A15" s="10" t="s">
        <v>20</v>
      </c>
      <c r="B15" s="11">
        <v>50000</v>
      </c>
      <c r="C15" s="10">
        <v>0</v>
      </c>
      <c r="D15" s="12">
        <v>0</v>
      </c>
      <c r="E15" s="22" t="s">
        <v>14</v>
      </c>
      <c r="F15" s="14">
        <v>0</v>
      </c>
      <c r="G15" s="15" t="s">
        <v>21</v>
      </c>
    </row>
    <row r="16" spans="1:8" ht="15.75" customHeight="1" x14ac:dyDescent="0.25">
      <c r="A16" s="23" t="s">
        <v>22</v>
      </c>
      <c r="B16" s="24">
        <v>400000</v>
      </c>
      <c r="C16" s="23">
        <v>2</v>
      </c>
      <c r="D16" s="25">
        <v>800000</v>
      </c>
      <c r="E16" s="28" t="s">
        <v>14</v>
      </c>
      <c r="F16" s="26">
        <v>0</v>
      </c>
      <c r="G16" s="27" t="s">
        <v>23</v>
      </c>
    </row>
    <row r="17" spans="1:7" ht="15.75" customHeight="1" x14ac:dyDescent="0.25">
      <c r="A17" s="32" t="s">
        <v>24</v>
      </c>
      <c r="B17" s="33">
        <v>200000</v>
      </c>
      <c r="C17" s="33">
        <v>3</v>
      </c>
      <c r="D17" s="33">
        <v>20000</v>
      </c>
      <c r="E17" s="33" t="s">
        <v>14</v>
      </c>
      <c r="F17" s="33">
        <v>4</v>
      </c>
      <c r="G17" s="27" t="s">
        <v>25</v>
      </c>
    </row>
    <row r="18" spans="1:7" ht="15.75" customHeight="1" x14ac:dyDescent="0.25">
      <c r="A18" s="29" t="s">
        <v>26</v>
      </c>
      <c r="B18" s="34">
        <v>200000</v>
      </c>
      <c r="C18" s="30">
        <v>3</v>
      </c>
      <c r="D18" s="30">
        <v>-20000</v>
      </c>
      <c r="E18" s="33" t="s">
        <v>14</v>
      </c>
      <c r="F18" s="30">
        <v>1</v>
      </c>
      <c r="G18" s="31" t="s">
        <v>27</v>
      </c>
    </row>
    <row r="19" spans="1:7" ht="15.75" customHeight="1" x14ac:dyDescent="0.2"/>
    <row r="20" spans="1:7" ht="15.75" customHeight="1" x14ac:dyDescent="0.2"/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F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Andres Valdes Ramirez</cp:lastModifiedBy>
  <dcterms:modified xsi:type="dcterms:W3CDTF">2026-03-11T13:22:26Z</dcterms:modified>
</cp:coreProperties>
</file>